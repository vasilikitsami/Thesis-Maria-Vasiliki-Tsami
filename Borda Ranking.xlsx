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IKI\Documents\Diplomatiki\"/>
    </mc:Choice>
  </mc:AlternateContent>
  <xr:revisionPtr revIDLastSave="0" documentId="13_ncr:1_{A274B53A-8892-4201-BED0-D278913D5271}" xr6:coauthVersionLast="45" xr6:coauthVersionMax="45" xr10:uidLastSave="{00000000-0000-0000-0000-000000000000}"/>
  <bookViews>
    <workbookView xWindow="-108" yWindow="-108" windowWidth="23256" windowHeight="12456" xr2:uid="{5AFFE334-6B62-41A3-B5B0-76D8D6D120AE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3" i="1" l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72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</calcChain>
</file>

<file path=xl/sharedStrings.xml><?xml version="1.0" encoding="utf-8"?>
<sst xmlns="http://schemas.openxmlformats.org/spreadsheetml/2006/main" count="93" uniqueCount="24">
  <si>
    <t>Rank</t>
  </si>
  <si>
    <t>Δοκιμή</t>
  </si>
  <si>
    <t>Faithfulness</t>
  </si>
  <si>
    <t>Answer Relevance</t>
  </si>
  <si>
    <t>Context Precision</t>
  </si>
  <si>
    <t>Context Recall</t>
  </si>
  <si>
    <t>Answer Correctness</t>
  </si>
  <si>
    <t>BORDA RANKING</t>
  </si>
  <si>
    <t xml:space="preserve">Δοκιμή </t>
  </si>
  <si>
    <t>Model</t>
  </si>
  <si>
    <t>Chunk Size</t>
  </si>
  <si>
    <t>Overlap</t>
  </si>
  <si>
    <t>Splitting Type</t>
  </si>
  <si>
    <t>gpt</t>
  </si>
  <si>
    <t>Recursive</t>
  </si>
  <si>
    <t>Token</t>
  </si>
  <si>
    <t>qwen</t>
  </si>
  <si>
    <t>Rank_faith</t>
  </si>
  <si>
    <t>Rank_AnsRel</t>
  </si>
  <si>
    <t>Rank_CtxPr</t>
  </si>
  <si>
    <t>Rank_CtxRc</t>
  </si>
  <si>
    <t>Rank_AnsCor</t>
  </si>
  <si>
    <t>Borda Score</t>
  </si>
  <si>
    <t>Final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</si>
</sst>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8B0E7"/>
        <bgColor indexed="64"/>
      </patternFill>
    </fill>
    <fill>
      <patternFill patternType="solid">
        <fgColor rgb="FF98C1C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DB1E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rgb="FFFA4032"/>
        <bgColor indexed="64"/>
      </patternFill>
    </fill>
    <fill>
      <patternFill patternType="solid">
        <fgColor rgb="FFFA4032"/>
        <bgColor rgb="FFFFE0CC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0" borderId="6" xfId="0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5" borderId="14" xfId="0" applyFont="1" applyFill="1" applyBorder="1" applyAlignment="1">
      <alignment horizontal="center"/>
    </xf>
    <xf numFmtId="0" fontId="0" fillId="6" borderId="15" xfId="0" applyFill="1" applyBorder="1"/>
    <xf numFmtId="0" fontId="0" fillId="7" borderId="15" xfId="0" applyFill="1" applyBorder="1"/>
    <xf numFmtId="0" fontId="0" fillId="8" borderId="15" xfId="0" applyFill="1" applyBorder="1"/>
    <xf numFmtId="0" fontId="0" fillId="9" borderId="5" xfId="0" applyFill="1" applyBorder="1"/>
    <xf numFmtId="0" fontId="0" fillId="5" borderId="16" xfId="0" applyFill="1" applyBorder="1" applyAlignment="1">
      <alignment horizontal="center"/>
    </xf>
    <xf numFmtId="0" fontId="0" fillId="6" borderId="17" xfId="0" applyFill="1" applyBorder="1"/>
    <xf numFmtId="0" fontId="0" fillId="7" borderId="18" xfId="0" applyFill="1" applyBorder="1"/>
    <xf numFmtId="0" fontId="0" fillId="8" borderId="18" xfId="0" applyFill="1" applyBorder="1"/>
    <xf numFmtId="0" fontId="0" fillId="10" borderId="19" xfId="0" applyFill="1" applyBorder="1"/>
    <xf numFmtId="0" fontId="0" fillId="6" borderId="20" xfId="0" applyFill="1" applyBorder="1"/>
    <xf numFmtId="0" fontId="0" fillId="7" borderId="21" xfId="0" applyFill="1" applyBorder="1"/>
    <xf numFmtId="0" fontId="0" fillId="11" borderId="21" xfId="0" applyFill="1" applyBorder="1"/>
    <xf numFmtId="0" fontId="0" fillId="9" borderId="22" xfId="0" applyFill="1" applyBorder="1"/>
    <xf numFmtId="0" fontId="0" fillId="6" borderId="23" xfId="0" applyFill="1" applyBorder="1"/>
    <xf numFmtId="0" fontId="0" fillId="7" borderId="24" xfId="0" applyFill="1" applyBorder="1"/>
    <xf numFmtId="0" fontId="0" fillId="11" borderId="24" xfId="0" applyFill="1" applyBorder="1"/>
    <xf numFmtId="0" fontId="0" fillId="10" borderId="5" xfId="0" applyFill="1" applyBorder="1"/>
    <xf numFmtId="0" fontId="0" fillId="3" borderId="21" xfId="0" applyFill="1" applyBorder="1"/>
    <xf numFmtId="0" fontId="0" fillId="3" borderId="18" xfId="0" applyFill="1" applyBorder="1"/>
    <xf numFmtId="0" fontId="0" fillId="12" borderId="21" xfId="0" applyFill="1" applyBorder="1"/>
    <xf numFmtId="0" fontId="0" fillId="12" borderId="24" xfId="0" applyFill="1" applyBorder="1"/>
    <xf numFmtId="0" fontId="0" fillId="8" borderId="21" xfId="0" applyFill="1" applyBorder="1"/>
    <xf numFmtId="0" fontId="0" fillId="5" borderId="25" xfId="0" applyFill="1" applyBorder="1" applyAlignment="1">
      <alignment horizontal="center"/>
    </xf>
    <xf numFmtId="0" fontId="0" fillId="13" borderId="26" xfId="0" applyFill="1" applyBorder="1"/>
    <xf numFmtId="0" fontId="0" fillId="11" borderId="26" xfId="0" applyFill="1" applyBorder="1"/>
    <xf numFmtId="0" fontId="0" fillId="9" borderId="6" xfId="0" applyFill="1" applyBorder="1"/>
    <xf numFmtId="0" fontId="0" fillId="13" borderId="24" xfId="0" applyFill="1" applyBorder="1"/>
    <xf numFmtId="0" fontId="0" fillId="13" borderId="21" xfId="0" applyFill="1" applyBorder="1"/>
    <xf numFmtId="0" fontId="0" fillId="8" borderId="24" xfId="0" applyFill="1" applyBorder="1"/>
    <xf numFmtId="0" fontId="0" fillId="3" borderId="26" xfId="0" applyFill="1" applyBorder="1"/>
    <xf numFmtId="0" fontId="0" fillId="10" borderId="6" xfId="0" applyFill="1" applyBorder="1"/>
    <xf numFmtId="0" fontId="0" fillId="14" borderId="23" xfId="0" applyFill="1" applyBorder="1"/>
    <xf numFmtId="0" fontId="0" fillId="14" borderId="15" xfId="0" applyFill="1" applyBorder="1"/>
    <xf numFmtId="0" fontId="0" fillId="7" borderId="26" xfId="0" applyFill="1" applyBorder="1"/>
    <xf numFmtId="0" fontId="0" fillId="14" borderId="20" xfId="0" applyFill="1" applyBorder="1"/>
    <xf numFmtId="0" fontId="0" fillId="7" borderId="27" xfId="0" applyFill="1" applyBorder="1"/>
    <xf numFmtId="0" fontId="0" fillId="11" borderId="20" xfId="0" applyFill="1" applyBorder="1"/>
    <xf numFmtId="0" fontId="0" fillId="7" borderId="0" xfId="0" applyFill="1"/>
    <xf numFmtId="0" fontId="0" fillId="11" borderId="23" xfId="0" applyFill="1" applyBorder="1"/>
    <xf numFmtId="0" fontId="0" fillId="3" borderId="20" xfId="0" applyFill="1" applyBorder="1"/>
    <xf numFmtId="0" fontId="0" fillId="5" borderId="28" xfId="0" applyFill="1" applyBorder="1" applyAlignment="1">
      <alignment horizontal="center"/>
    </xf>
    <xf numFmtId="0" fontId="0" fillId="3" borderId="23" xfId="0" applyFill="1" applyBorder="1"/>
    <xf numFmtId="0" fontId="0" fillId="12" borderId="27" xfId="0" applyFill="1" applyBorder="1"/>
    <xf numFmtId="0" fontId="0" fillId="12" borderId="0" xfId="0" applyFill="1"/>
    <xf numFmtId="0" fontId="0" fillId="8" borderId="20" xfId="0" applyFill="1" applyBorder="1"/>
    <xf numFmtId="0" fontId="0" fillId="8" borderId="23" xfId="0" applyFill="1" applyBorder="1"/>
    <xf numFmtId="0" fontId="0" fillId="13" borderId="27" xfId="0" applyFill="1" applyBorder="1"/>
    <xf numFmtId="0" fontId="0" fillId="13" borderId="0" xfId="0" applyFill="1"/>
    <xf numFmtId="0" fontId="0" fillId="10" borderId="22" xfId="0" applyFill="1" applyBorder="1"/>
    <xf numFmtId="0" fontId="0" fillId="13" borderId="29" xfId="0" applyFill="1" applyBorder="1"/>
    <xf numFmtId="0" fontId="0" fillId="3" borderId="15" xfId="0" applyFill="1" applyBorder="1"/>
    <xf numFmtId="0" fontId="0" fillId="5" borderId="30" xfId="0" applyFill="1" applyBorder="1" applyAlignment="1">
      <alignment horizontal="center"/>
    </xf>
    <xf numFmtId="0" fontId="0" fillId="14" borderId="31" xfId="0" applyFill="1" applyBorder="1"/>
    <xf numFmtId="0" fontId="0" fillId="13" borderId="8" xfId="0" applyFill="1" applyBorder="1"/>
    <xf numFmtId="0" fontId="0" fillId="3" borderId="31" xfId="0" applyFill="1" applyBorder="1"/>
    <xf numFmtId="0" fontId="0" fillId="10" borderId="9" xfId="0" applyFill="1" applyBorder="1"/>
    <xf numFmtId="0" fontId="0" fillId="15" borderId="11" xfId="0" applyFill="1" applyBorder="1" applyAlignment="1">
      <alignment horizontal="center" vertical="center"/>
    </xf>
    <xf numFmtId="0" fontId="0" fillId="15" borderId="32" xfId="0" applyFill="1" applyBorder="1"/>
    <xf numFmtId="0" fontId="0" fillId="15" borderId="12" xfId="0" applyFill="1" applyBorder="1"/>
    <xf numFmtId="0" fontId="0" fillId="15" borderId="13" xfId="0" applyFill="1" applyBorder="1"/>
    <xf numFmtId="0" fontId="1" fillId="3" borderId="14" xfId="0" applyFont="1" applyFill="1" applyBorder="1" applyAlignment="1">
      <alignment horizontal="center"/>
    </xf>
    <xf numFmtId="0" fontId="0" fillId="0" borderId="23" xfId="0" applyBorder="1"/>
    <xf numFmtId="0" fontId="3" fillId="17" borderId="27" xfId="1" applyFont="1" applyFill="1" applyBorder="1" applyAlignment="1">
      <alignment horizontal="center" vertical="center"/>
    </xf>
    <xf numFmtId="0" fontId="3" fillId="17" borderId="20" xfId="1" applyFont="1" applyFill="1" applyBorder="1" applyAlignment="1">
      <alignment horizontal="center" vertical="center"/>
    </xf>
    <xf numFmtId="0" fontId="0" fillId="0" borderId="20" xfId="0" applyBorder="1"/>
    <xf numFmtId="0" fontId="3" fillId="17" borderId="23" xfId="1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3" fillId="16" borderId="27" xfId="1" applyFont="1" applyFill="1" applyBorder="1" applyAlignment="1">
      <alignment horizontal="center" vertical="center"/>
    </xf>
    <xf numFmtId="0" fontId="3" fillId="16" borderId="20" xfId="1" applyFont="1" applyFill="1" applyBorder="1" applyAlignment="1">
      <alignment horizontal="center" vertical="center"/>
    </xf>
    <xf numFmtId="0" fontId="3" fillId="16" borderId="23" xfId="1" applyFont="1" applyFill="1" applyBorder="1" applyAlignment="1">
      <alignment horizontal="center" vertical="center"/>
    </xf>
    <xf numFmtId="0" fontId="3" fillId="17" borderId="29" xfId="1" applyFont="1" applyFill="1" applyBorder="1" applyAlignment="1">
      <alignment horizontal="center" vertical="center"/>
    </xf>
    <xf numFmtId="0" fontId="3" fillId="17" borderId="15" xfId="1" applyFont="1" applyFill="1" applyBorder="1" applyAlignment="1">
      <alignment horizontal="center" vertical="center"/>
    </xf>
    <xf numFmtId="0" fontId="0" fillId="0" borderId="15" xfId="0" applyBorder="1"/>
    <xf numFmtId="0" fontId="0" fillId="5" borderId="14" xfId="0" applyFill="1" applyBorder="1" applyAlignment="1">
      <alignment horizontal="center"/>
    </xf>
    <xf numFmtId="0" fontId="3" fillId="17" borderId="33" xfId="1" applyFont="1" applyFill="1" applyBorder="1" applyAlignment="1">
      <alignment horizontal="center" vertical="center"/>
    </xf>
    <xf numFmtId="0" fontId="3" fillId="17" borderId="17" xfId="1" applyFont="1" applyFill="1" applyBorder="1" applyAlignment="1">
      <alignment horizontal="center" vertical="center"/>
    </xf>
    <xf numFmtId="0" fontId="0" fillId="0" borderId="17" xfId="0" applyBorder="1"/>
    <xf numFmtId="0" fontId="0" fillId="18" borderId="25" xfId="0" applyFill="1" applyBorder="1" applyAlignment="1">
      <alignment horizontal="center"/>
    </xf>
    <xf numFmtId="0" fontId="3" fillId="19" borderId="23" xfId="1" applyFont="1" applyFill="1" applyBorder="1" applyAlignment="1">
      <alignment horizontal="center" vertical="center"/>
    </xf>
    <xf numFmtId="0" fontId="0" fillId="18" borderId="14" xfId="0" applyFill="1" applyBorder="1" applyAlignment="1">
      <alignment horizontal="center"/>
    </xf>
    <xf numFmtId="0" fontId="3" fillId="19" borderId="27" xfId="1" applyFont="1" applyFill="1" applyBorder="1" applyAlignment="1">
      <alignment horizontal="center" vertical="center"/>
    </xf>
    <xf numFmtId="0" fontId="3" fillId="19" borderId="20" xfId="1" applyFont="1" applyFill="1" applyBorder="1" applyAlignment="1">
      <alignment horizontal="center" vertical="center"/>
    </xf>
    <xf numFmtId="0" fontId="0" fillId="18" borderId="20" xfId="0" applyFill="1" applyBorder="1"/>
    <xf numFmtId="0" fontId="0" fillId="18" borderId="16" xfId="0" applyFill="1" applyBorder="1" applyAlignment="1">
      <alignment horizontal="center"/>
    </xf>
    <xf numFmtId="0" fontId="3" fillId="19" borderId="29" xfId="1" applyFont="1" applyFill="1" applyBorder="1" applyAlignment="1">
      <alignment horizontal="center" vertical="center"/>
    </xf>
    <xf numFmtId="0" fontId="3" fillId="19" borderId="15" xfId="1" applyFont="1" applyFill="1" applyBorder="1" applyAlignment="1">
      <alignment horizontal="center" vertical="center"/>
    </xf>
    <xf numFmtId="0" fontId="0" fillId="18" borderId="15" xfId="0" applyFill="1" applyBorder="1"/>
    <xf numFmtId="0" fontId="0" fillId="18" borderId="28" xfId="0" applyFill="1" applyBorder="1" applyAlignment="1">
      <alignment horizontal="center"/>
    </xf>
    <xf numFmtId="0" fontId="3" fillId="19" borderId="34" xfId="1" applyFont="1" applyFill="1" applyBorder="1" applyAlignment="1">
      <alignment horizontal="center" vertical="center"/>
    </xf>
    <xf numFmtId="0" fontId="0" fillId="18" borderId="35" xfId="0" applyFill="1" applyBorder="1" applyAlignment="1">
      <alignment horizontal="center"/>
    </xf>
    <xf numFmtId="0" fontId="3" fillId="19" borderId="8" xfId="1" applyFont="1" applyFill="1" applyBorder="1" applyAlignment="1">
      <alignment horizontal="center" vertical="center"/>
    </xf>
    <xf numFmtId="0" fontId="3" fillId="19" borderId="31" xfId="1" applyFont="1" applyFill="1" applyBorder="1" applyAlignment="1">
      <alignment horizontal="center" vertical="center"/>
    </xf>
    <xf numFmtId="0" fontId="0" fillId="18" borderId="31" xfId="0" applyFill="1" applyBorder="1"/>
    <xf numFmtId="0" fontId="0" fillId="18" borderId="9" xfId="0" applyFill="1" applyBorder="1"/>
    <xf numFmtId="0" fontId="0" fillId="3" borderId="36" xfId="0" applyFill="1" applyBorder="1"/>
    <xf numFmtId="0" fontId="0" fillId="3" borderId="37" xfId="0" applyFill="1" applyBorder="1"/>
    <xf numFmtId="0" fontId="0" fillId="20" borderId="38" xfId="0" applyFill="1" applyBorder="1"/>
    <xf numFmtId="0" fontId="0" fillId="20" borderId="37" xfId="0" applyFill="1" applyBorder="1"/>
    <xf numFmtId="0" fontId="3" fillId="16" borderId="0" xfId="1" applyFont="1" applyFill="1" applyBorder="1" applyAlignment="1">
      <alignment horizontal="center" vertical="center"/>
    </xf>
    <xf numFmtId="0" fontId="3" fillId="17" borderId="39" xfId="1" applyFont="1" applyFill="1" applyBorder="1" applyAlignment="1">
      <alignment horizontal="center" vertical="center"/>
    </xf>
    <xf numFmtId="0" fontId="3" fillId="17" borderId="34" xfId="1" applyFont="1" applyFill="1" applyBorder="1" applyAlignment="1">
      <alignment horizontal="center" vertical="center"/>
    </xf>
    <xf numFmtId="0" fontId="0" fillId="3" borderId="17" xfId="0" applyFill="1" applyBorder="1"/>
    <xf numFmtId="0" fontId="0" fillId="20" borderId="40" xfId="0" applyFill="1" applyBorder="1"/>
    <xf numFmtId="0" fontId="0" fillId="18" borderId="40" xfId="0" applyFill="1" applyBorder="1"/>
    <xf numFmtId="0" fontId="3" fillId="17" borderId="0" xfId="1" applyFont="1" applyFill="1" applyBorder="1" applyAlignment="1">
      <alignment horizontal="center" vertical="center"/>
    </xf>
    <xf numFmtId="0" fontId="0" fillId="3" borderId="40" xfId="0" applyFill="1" applyBorder="1"/>
    <xf numFmtId="0" fontId="0" fillId="3" borderId="38" xfId="0" applyFill="1" applyBorder="1"/>
    <xf numFmtId="0" fontId="3" fillId="19" borderId="0" xfId="1" applyFont="1" applyFill="1" applyBorder="1" applyAlignment="1">
      <alignment horizontal="center" vertical="center"/>
    </xf>
  </cellXfs>
  <cellStyles count="2">
    <cellStyle name="Κανονικό" xfId="0" builtinId="0"/>
    <cellStyle name="Κανονικό 2" xfId="1" xr:uid="{A2546EBD-751E-402C-AD97-7EF1CB3C6E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3FA0-0873-4C61-9535-1C35FEBAB0ED}">
  <dimension ref="A1:T103"/>
  <sheetViews>
    <sheetView tabSelected="1" topLeftCell="A58" workbookViewId="0">
      <selection activeCell="A73" sqref="A73"/>
    </sheetView>
  </sheetViews>
  <sheetFormatPr defaultRowHeight="14.4" x14ac:dyDescent="0.3"/>
  <cols>
    <col min="1" max="1" width="26.5546875" customWidth="1"/>
    <col min="4" max="4" width="10.88671875" customWidth="1"/>
    <col min="6" max="6" width="11.44140625" customWidth="1"/>
    <col min="8" max="8" width="16.5546875" customWidth="1"/>
    <col min="12" max="12" width="15.21875" customWidth="1"/>
    <col min="16" max="16" width="14" customWidth="1"/>
    <col min="20" max="20" width="17.33203125" customWidth="1"/>
  </cols>
  <sheetData>
    <row r="1" spans="1:6" ht="15" thickBot="1" x14ac:dyDescent="0.35">
      <c r="A1" t="s">
        <v>7</v>
      </c>
    </row>
    <row r="2" spans="1:6" ht="15" thickBot="1" x14ac:dyDescent="0.35">
      <c r="B2" s="16" t="s">
        <v>8</v>
      </c>
      <c r="C2" s="17" t="s">
        <v>9</v>
      </c>
      <c r="D2" s="18" t="s">
        <v>10</v>
      </c>
      <c r="E2" s="18" t="s">
        <v>11</v>
      </c>
      <c r="F2" s="19" t="s">
        <v>12</v>
      </c>
    </row>
    <row r="3" spans="1:6" x14ac:dyDescent="0.3">
      <c r="B3" s="20">
        <v>1</v>
      </c>
      <c r="C3" s="21" t="s">
        <v>13</v>
      </c>
      <c r="D3" s="22">
        <v>2000</v>
      </c>
      <c r="E3" s="23">
        <v>200</v>
      </c>
      <c r="F3" s="24" t="s">
        <v>14</v>
      </c>
    </row>
    <row r="4" spans="1:6" x14ac:dyDescent="0.3">
      <c r="B4" s="25">
        <v>2</v>
      </c>
      <c r="C4" s="26" t="s">
        <v>13</v>
      </c>
      <c r="D4" s="27">
        <v>2000</v>
      </c>
      <c r="E4" s="28">
        <v>200</v>
      </c>
      <c r="F4" s="29" t="s">
        <v>15</v>
      </c>
    </row>
    <row r="5" spans="1:6" x14ac:dyDescent="0.3">
      <c r="B5" s="25">
        <v>3</v>
      </c>
      <c r="C5" s="30" t="s">
        <v>13</v>
      </c>
      <c r="D5" s="31">
        <v>2000</v>
      </c>
      <c r="E5" s="32">
        <v>0</v>
      </c>
      <c r="F5" s="33" t="s">
        <v>14</v>
      </c>
    </row>
    <row r="6" spans="1:6" x14ac:dyDescent="0.3">
      <c r="B6" s="25">
        <v>4</v>
      </c>
      <c r="C6" s="34" t="s">
        <v>13</v>
      </c>
      <c r="D6" s="35">
        <v>2000</v>
      </c>
      <c r="E6" s="36">
        <v>0</v>
      </c>
      <c r="F6" s="37" t="s">
        <v>15</v>
      </c>
    </row>
    <row r="7" spans="1:6" x14ac:dyDescent="0.3">
      <c r="B7" s="25">
        <v>5</v>
      </c>
      <c r="C7" s="30" t="s">
        <v>13</v>
      </c>
      <c r="D7" s="31">
        <v>2000</v>
      </c>
      <c r="E7" s="38">
        <v>1000</v>
      </c>
      <c r="F7" s="33" t="s">
        <v>14</v>
      </c>
    </row>
    <row r="8" spans="1:6" x14ac:dyDescent="0.3">
      <c r="B8" s="25">
        <v>6</v>
      </c>
      <c r="C8" s="26" t="s">
        <v>13</v>
      </c>
      <c r="D8" s="27">
        <v>2000</v>
      </c>
      <c r="E8" s="39">
        <v>1000</v>
      </c>
      <c r="F8" s="29" t="s">
        <v>15</v>
      </c>
    </row>
    <row r="9" spans="1:6" x14ac:dyDescent="0.3">
      <c r="B9" s="25">
        <v>7</v>
      </c>
      <c r="C9" s="30" t="s">
        <v>13</v>
      </c>
      <c r="D9" s="40">
        <v>500</v>
      </c>
      <c r="E9" s="32">
        <v>0</v>
      </c>
      <c r="F9" s="33" t="s">
        <v>14</v>
      </c>
    </row>
    <row r="10" spans="1:6" x14ac:dyDescent="0.3">
      <c r="B10" s="25">
        <v>8</v>
      </c>
      <c r="C10" s="34" t="s">
        <v>13</v>
      </c>
      <c r="D10" s="41">
        <v>500</v>
      </c>
      <c r="E10" s="36">
        <v>0</v>
      </c>
      <c r="F10" s="37" t="s">
        <v>15</v>
      </c>
    </row>
    <row r="11" spans="1:6" x14ac:dyDescent="0.3">
      <c r="B11" s="25">
        <v>9</v>
      </c>
      <c r="C11" s="30" t="s">
        <v>13</v>
      </c>
      <c r="D11" s="40">
        <v>500</v>
      </c>
      <c r="E11" s="42">
        <v>200</v>
      </c>
      <c r="F11" s="33" t="s">
        <v>14</v>
      </c>
    </row>
    <row r="12" spans="1:6" x14ac:dyDescent="0.3">
      <c r="B12" s="25">
        <v>10</v>
      </c>
      <c r="C12" s="30" t="s">
        <v>13</v>
      </c>
      <c r="D12" s="40">
        <v>500</v>
      </c>
      <c r="E12" s="28">
        <v>200</v>
      </c>
      <c r="F12" s="29" t="s">
        <v>15</v>
      </c>
    </row>
    <row r="13" spans="1:6" x14ac:dyDescent="0.3">
      <c r="B13" s="43">
        <v>11</v>
      </c>
      <c r="C13" s="21" t="s">
        <v>13</v>
      </c>
      <c r="D13" s="44">
        <v>8000</v>
      </c>
      <c r="E13" s="45">
        <v>0</v>
      </c>
      <c r="F13" s="46" t="s">
        <v>14</v>
      </c>
    </row>
    <row r="14" spans="1:6" x14ac:dyDescent="0.3">
      <c r="B14" s="25">
        <v>12</v>
      </c>
      <c r="C14" s="34" t="s">
        <v>13</v>
      </c>
      <c r="D14" s="47">
        <v>8000</v>
      </c>
      <c r="E14" s="36">
        <v>0</v>
      </c>
      <c r="F14" s="37" t="s">
        <v>15</v>
      </c>
    </row>
    <row r="15" spans="1:6" x14ac:dyDescent="0.3">
      <c r="B15" s="25">
        <v>13</v>
      </c>
      <c r="C15" s="30" t="s">
        <v>13</v>
      </c>
      <c r="D15" s="48">
        <v>8000</v>
      </c>
      <c r="E15" s="42">
        <v>200</v>
      </c>
      <c r="F15" s="33" t="s">
        <v>14</v>
      </c>
    </row>
    <row r="16" spans="1:6" x14ac:dyDescent="0.3">
      <c r="B16" s="25">
        <v>14</v>
      </c>
      <c r="C16" s="34" t="s">
        <v>13</v>
      </c>
      <c r="D16" s="47">
        <v>8000</v>
      </c>
      <c r="E16" s="49">
        <v>200</v>
      </c>
      <c r="F16" s="37" t="s">
        <v>15</v>
      </c>
    </row>
    <row r="17" spans="2:6" x14ac:dyDescent="0.3">
      <c r="B17" s="25">
        <v>15</v>
      </c>
      <c r="C17" s="30" t="s">
        <v>13</v>
      </c>
      <c r="D17" s="48">
        <v>8000</v>
      </c>
      <c r="E17" s="38">
        <v>1000</v>
      </c>
      <c r="F17" s="33" t="s">
        <v>14</v>
      </c>
    </row>
    <row r="18" spans="2:6" x14ac:dyDescent="0.3">
      <c r="B18" s="25">
        <v>16</v>
      </c>
      <c r="C18" s="21" t="s">
        <v>13</v>
      </c>
      <c r="D18" s="44">
        <v>8000</v>
      </c>
      <c r="E18" s="50">
        <v>1000</v>
      </c>
      <c r="F18" s="51" t="s">
        <v>15</v>
      </c>
    </row>
    <row r="19" spans="2:6" x14ac:dyDescent="0.3">
      <c r="B19" s="43">
        <v>17</v>
      </c>
      <c r="C19" s="52" t="s">
        <v>16</v>
      </c>
      <c r="D19" s="35">
        <v>2000</v>
      </c>
      <c r="E19" s="49">
        <v>200</v>
      </c>
      <c r="F19" s="24" t="s">
        <v>14</v>
      </c>
    </row>
    <row r="20" spans="2:6" x14ac:dyDescent="0.3">
      <c r="B20" s="25">
        <v>18</v>
      </c>
      <c r="C20" s="53" t="s">
        <v>16</v>
      </c>
      <c r="D20" s="54">
        <v>2000</v>
      </c>
      <c r="E20" s="49">
        <v>200</v>
      </c>
      <c r="F20" s="37" t="s">
        <v>15</v>
      </c>
    </row>
    <row r="21" spans="2:6" x14ac:dyDescent="0.3">
      <c r="B21" s="25">
        <v>19</v>
      </c>
      <c r="C21" s="55" t="s">
        <v>16</v>
      </c>
      <c r="D21" s="56">
        <v>2000</v>
      </c>
      <c r="E21" s="57">
        <v>0</v>
      </c>
      <c r="F21" s="33" t="s">
        <v>14</v>
      </c>
    </row>
    <row r="22" spans="2:6" x14ac:dyDescent="0.3">
      <c r="B22" s="25">
        <v>20</v>
      </c>
      <c r="C22" s="52" t="s">
        <v>16</v>
      </c>
      <c r="D22" s="58">
        <v>2000</v>
      </c>
      <c r="E22" s="59">
        <v>0</v>
      </c>
      <c r="F22" s="37" t="s">
        <v>15</v>
      </c>
    </row>
    <row r="23" spans="2:6" x14ac:dyDescent="0.3">
      <c r="B23" s="25">
        <v>21</v>
      </c>
      <c r="C23" s="55" t="s">
        <v>16</v>
      </c>
      <c r="D23" s="56">
        <v>2000</v>
      </c>
      <c r="E23" s="60">
        <v>1000</v>
      </c>
      <c r="F23" s="33" t="s">
        <v>14</v>
      </c>
    </row>
    <row r="24" spans="2:6" x14ac:dyDescent="0.3">
      <c r="B24" s="61">
        <v>22</v>
      </c>
      <c r="C24" s="52" t="s">
        <v>16</v>
      </c>
      <c r="D24" s="58">
        <v>2000</v>
      </c>
      <c r="E24" s="62">
        <v>1000</v>
      </c>
      <c r="F24" s="37" t="s">
        <v>15</v>
      </c>
    </row>
    <row r="25" spans="2:6" x14ac:dyDescent="0.3">
      <c r="B25" s="25">
        <v>23</v>
      </c>
      <c r="C25" s="55" t="s">
        <v>16</v>
      </c>
      <c r="D25" s="63">
        <v>500</v>
      </c>
      <c r="E25" s="57">
        <v>0</v>
      </c>
      <c r="F25" s="33" t="s">
        <v>14</v>
      </c>
    </row>
    <row r="26" spans="2:6" x14ac:dyDescent="0.3">
      <c r="B26" s="43">
        <v>24</v>
      </c>
      <c r="C26" s="52" t="s">
        <v>16</v>
      </c>
      <c r="D26" s="64">
        <v>500</v>
      </c>
      <c r="E26" s="59">
        <v>0</v>
      </c>
      <c r="F26" s="37" t="s">
        <v>15</v>
      </c>
    </row>
    <row r="27" spans="2:6" x14ac:dyDescent="0.3">
      <c r="B27" s="25">
        <v>25</v>
      </c>
      <c r="C27" s="55" t="s">
        <v>16</v>
      </c>
      <c r="D27" s="63">
        <v>500</v>
      </c>
      <c r="E27" s="65">
        <v>200</v>
      </c>
      <c r="F27" s="33" t="s">
        <v>14</v>
      </c>
    </row>
    <row r="28" spans="2:6" x14ac:dyDescent="0.3">
      <c r="B28" s="25">
        <v>26</v>
      </c>
      <c r="C28" s="52" t="s">
        <v>16</v>
      </c>
      <c r="D28" s="64">
        <v>500</v>
      </c>
      <c r="E28" s="66">
        <v>200</v>
      </c>
      <c r="F28" s="37" t="s">
        <v>15</v>
      </c>
    </row>
    <row r="29" spans="2:6" x14ac:dyDescent="0.3">
      <c r="B29" s="25">
        <v>27</v>
      </c>
      <c r="C29" s="55" t="s">
        <v>16</v>
      </c>
      <c r="D29" s="67">
        <v>8000</v>
      </c>
      <c r="E29" s="57">
        <v>0</v>
      </c>
      <c r="F29" s="33" t="s">
        <v>14</v>
      </c>
    </row>
    <row r="30" spans="2:6" x14ac:dyDescent="0.3">
      <c r="B30" s="61">
        <v>28</v>
      </c>
      <c r="C30" s="52" t="s">
        <v>16</v>
      </c>
      <c r="D30" s="68">
        <v>8000</v>
      </c>
      <c r="E30" s="59">
        <v>0</v>
      </c>
      <c r="F30" s="37" t="s">
        <v>15</v>
      </c>
    </row>
    <row r="31" spans="2:6" x14ac:dyDescent="0.3">
      <c r="B31" s="25">
        <v>29</v>
      </c>
      <c r="C31" s="55" t="s">
        <v>16</v>
      </c>
      <c r="D31" s="67">
        <v>8000</v>
      </c>
      <c r="E31" s="65">
        <v>200</v>
      </c>
      <c r="F31" s="33" t="s">
        <v>14</v>
      </c>
    </row>
    <row r="32" spans="2:6" x14ac:dyDescent="0.3">
      <c r="B32" s="25">
        <v>30</v>
      </c>
      <c r="C32" s="55" t="s">
        <v>16</v>
      </c>
      <c r="D32" s="67">
        <v>8000</v>
      </c>
      <c r="E32" s="65">
        <v>200</v>
      </c>
      <c r="F32" s="69" t="s">
        <v>15</v>
      </c>
    </row>
    <row r="33" spans="2:20" x14ac:dyDescent="0.3">
      <c r="B33" s="43">
        <v>31</v>
      </c>
      <c r="C33" s="53" t="s">
        <v>16</v>
      </c>
      <c r="D33" s="70">
        <v>8000</v>
      </c>
      <c r="E33" s="71">
        <v>1000</v>
      </c>
      <c r="F33" s="46" t="s">
        <v>14</v>
      </c>
    </row>
    <row r="34" spans="2:20" ht="15" thickBot="1" x14ac:dyDescent="0.35">
      <c r="B34" s="72">
        <v>32</v>
      </c>
      <c r="C34" s="73" t="s">
        <v>16</v>
      </c>
      <c r="D34" s="74">
        <v>8000</v>
      </c>
      <c r="E34" s="75">
        <v>1000</v>
      </c>
      <c r="F34" s="76" t="s">
        <v>15</v>
      </c>
    </row>
    <row r="35" spans="2:20" ht="15" thickBot="1" x14ac:dyDescent="0.35"/>
    <row r="36" spans="2:20" x14ac:dyDescent="0.3">
      <c r="B36" s="1" t="s">
        <v>0</v>
      </c>
      <c r="C36" s="2" t="s">
        <v>1</v>
      </c>
      <c r="D36" s="3" t="s">
        <v>2</v>
      </c>
      <c r="F36" s="1" t="s">
        <v>0</v>
      </c>
      <c r="G36" s="2" t="s">
        <v>1</v>
      </c>
      <c r="H36" s="3" t="s">
        <v>3</v>
      </c>
      <c r="J36" s="1" t="s">
        <v>0</v>
      </c>
      <c r="K36" s="2" t="s">
        <v>1</v>
      </c>
      <c r="L36" s="3" t="s">
        <v>4</v>
      </c>
      <c r="N36" s="1" t="s">
        <v>0</v>
      </c>
      <c r="O36" s="2" t="s">
        <v>1</v>
      </c>
      <c r="P36" s="3" t="s">
        <v>5</v>
      </c>
      <c r="R36" s="1" t="s">
        <v>0</v>
      </c>
      <c r="S36" s="2" t="s">
        <v>1</v>
      </c>
      <c r="T36" s="3" t="s">
        <v>6</v>
      </c>
    </row>
    <row r="37" spans="2:20" x14ac:dyDescent="0.3">
      <c r="B37" s="4">
        <v>1</v>
      </c>
      <c r="C37" s="5">
        <v>8</v>
      </c>
      <c r="D37" s="6">
        <v>0.88844999999999996</v>
      </c>
      <c r="F37" s="4">
        <v>1</v>
      </c>
      <c r="G37" s="5">
        <v>14</v>
      </c>
      <c r="H37" s="6">
        <v>0.90569999999999995</v>
      </c>
      <c r="J37" s="4">
        <v>1</v>
      </c>
      <c r="K37" s="5">
        <v>5</v>
      </c>
      <c r="L37" s="6">
        <v>0.89862500000000001</v>
      </c>
      <c r="N37" s="4">
        <v>1</v>
      </c>
      <c r="O37" s="5">
        <v>5</v>
      </c>
      <c r="P37" s="6">
        <v>0.79272500000000001</v>
      </c>
      <c r="R37" s="4">
        <v>1</v>
      </c>
      <c r="S37" s="5">
        <v>5</v>
      </c>
      <c r="T37" s="6">
        <v>0.684868421</v>
      </c>
    </row>
    <row r="38" spans="2:20" x14ac:dyDescent="0.3">
      <c r="B38" s="4">
        <v>2</v>
      </c>
      <c r="C38" s="5">
        <v>10</v>
      </c>
      <c r="D38" s="6">
        <v>0.85667499999999996</v>
      </c>
      <c r="F38" s="4">
        <v>2</v>
      </c>
      <c r="G38" s="5">
        <v>16</v>
      </c>
      <c r="H38" s="6">
        <v>0.89372499999999999</v>
      </c>
      <c r="J38" s="4">
        <v>2</v>
      </c>
      <c r="K38" s="5">
        <v>7</v>
      </c>
      <c r="L38" s="6">
        <v>0.88929999999999998</v>
      </c>
      <c r="N38" s="4">
        <v>2</v>
      </c>
      <c r="O38" s="5">
        <v>8</v>
      </c>
      <c r="P38" s="6">
        <v>0.72714999999999996</v>
      </c>
      <c r="R38" s="4">
        <v>2</v>
      </c>
      <c r="S38" s="5">
        <v>1</v>
      </c>
      <c r="T38" s="6">
        <v>0.67715384599999995</v>
      </c>
    </row>
    <row r="39" spans="2:20" x14ac:dyDescent="0.3">
      <c r="B39" s="4">
        <v>3</v>
      </c>
      <c r="C39" s="5">
        <v>9</v>
      </c>
      <c r="D39" s="6">
        <v>0.84172499999999995</v>
      </c>
      <c r="F39" s="4">
        <v>3</v>
      </c>
      <c r="G39" s="5">
        <v>1</v>
      </c>
      <c r="H39" s="6">
        <v>0.89197499999999996</v>
      </c>
      <c r="J39" s="4">
        <v>3</v>
      </c>
      <c r="K39" s="5">
        <v>8</v>
      </c>
      <c r="L39" s="6">
        <v>0.87324999999999997</v>
      </c>
      <c r="N39" s="4">
        <v>3</v>
      </c>
      <c r="O39" s="5">
        <v>7</v>
      </c>
      <c r="P39" s="6">
        <v>0.69210000000000005</v>
      </c>
      <c r="R39" s="4">
        <v>3</v>
      </c>
      <c r="S39" s="5">
        <v>15</v>
      </c>
      <c r="T39" s="6">
        <v>0.67579999999999996</v>
      </c>
    </row>
    <row r="40" spans="2:20" x14ac:dyDescent="0.3">
      <c r="B40" s="4">
        <v>4</v>
      </c>
      <c r="C40" s="5">
        <v>7</v>
      </c>
      <c r="D40" s="6">
        <v>0.81594999999999995</v>
      </c>
      <c r="F40" s="4">
        <v>4</v>
      </c>
      <c r="G40" s="5">
        <v>2</v>
      </c>
      <c r="H40" s="6">
        <v>0.88674359000000003</v>
      </c>
      <c r="J40" s="4">
        <v>4</v>
      </c>
      <c r="K40" s="5">
        <v>6</v>
      </c>
      <c r="L40" s="6">
        <v>0.86429999999999996</v>
      </c>
      <c r="N40" s="4">
        <v>4</v>
      </c>
      <c r="O40" s="5">
        <v>10</v>
      </c>
      <c r="P40" s="6">
        <v>0.68430000000000002</v>
      </c>
      <c r="R40" s="4">
        <v>4</v>
      </c>
      <c r="S40" s="5">
        <v>14</v>
      </c>
      <c r="T40" s="6">
        <v>0.66220000000000001</v>
      </c>
    </row>
    <row r="41" spans="2:20" x14ac:dyDescent="0.3">
      <c r="B41" s="4">
        <v>5</v>
      </c>
      <c r="C41" s="5">
        <v>24</v>
      </c>
      <c r="D41" s="6">
        <v>0.810025</v>
      </c>
      <c r="F41" s="4">
        <v>5</v>
      </c>
      <c r="G41" s="5">
        <v>6</v>
      </c>
      <c r="H41" s="6">
        <v>0.88514999999999999</v>
      </c>
      <c r="J41" s="4">
        <v>5</v>
      </c>
      <c r="K41" s="5">
        <v>10</v>
      </c>
      <c r="L41" s="6">
        <v>0.84935000000000005</v>
      </c>
      <c r="N41" s="4">
        <v>5</v>
      </c>
      <c r="O41" s="5">
        <v>6</v>
      </c>
      <c r="P41" s="6">
        <v>0.637625</v>
      </c>
      <c r="R41" s="4">
        <v>5</v>
      </c>
      <c r="S41" s="5">
        <v>12</v>
      </c>
      <c r="T41" s="6">
        <v>0.66149999999999998</v>
      </c>
    </row>
    <row r="42" spans="2:20" x14ac:dyDescent="0.3">
      <c r="B42" s="7">
        <v>6</v>
      </c>
      <c r="C42">
        <v>1</v>
      </c>
      <c r="D42" s="8">
        <v>0.79543589699999995</v>
      </c>
      <c r="F42" s="7">
        <v>6</v>
      </c>
      <c r="G42">
        <v>13</v>
      </c>
      <c r="H42" s="8">
        <v>0.88305</v>
      </c>
      <c r="J42" s="7">
        <v>6</v>
      </c>
      <c r="K42">
        <v>9</v>
      </c>
      <c r="L42" s="8">
        <v>0.84199999999999997</v>
      </c>
      <c r="N42" s="7">
        <v>6</v>
      </c>
      <c r="O42">
        <v>1</v>
      </c>
      <c r="P42" s="8">
        <v>0.62046153900000001</v>
      </c>
      <c r="R42" s="7">
        <v>6</v>
      </c>
      <c r="S42">
        <v>2</v>
      </c>
      <c r="T42" s="8">
        <v>0.65726315800000001</v>
      </c>
    </row>
    <row r="43" spans="2:20" x14ac:dyDescent="0.3">
      <c r="B43" s="7">
        <v>7</v>
      </c>
      <c r="C43">
        <v>21</v>
      </c>
      <c r="D43" s="8">
        <v>0.78347500000000003</v>
      </c>
      <c r="F43" s="7">
        <v>7</v>
      </c>
      <c r="G43">
        <v>12</v>
      </c>
      <c r="H43" s="8">
        <v>0.88302564100000003</v>
      </c>
      <c r="J43" s="7">
        <v>7</v>
      </c>
      <c r="K43">
        <v>1</v>
      </c>
      <c r="L43" s="8">
        <v>0.814923077</v>
      </c>
      <c r="N43" s="7">
        <v>7</v>
      </c>
      <c r="O43">
        <v>9</v>
      </c>
      <c r="P43" s="8">
        <v>0.59072499999999994</v>
      </c>
      <c r="R43" s="7">
        <v>7</v>
      </c>
      <c r="S43">
        <v>13</v>
      </c>
      <c r="T43" s="8">
        <v>0.65122500000000005</v>
      </c>
    </row>
    <row r="44" spans="2:20" x14ac:dyDescent="0.3">
      <c r="B44" s="7">
        <v>8</v>
      </c>
      <c r="C44">
        <v>5</v>
      </c>
      <c r="D44" s="8">
        <v>0.77452500000000002</v>
      </c>
      <c r="F44" s="7">
        <v>8</v>
      </c>
      <c r="G44">
        <v>8</v>
      </c>
      <c r="H44" s="8">
        <v>0.87212500000000004</v>
      </c>
      <c r="J44" s="7">
        <v>8</v>
      </c>
      <c r="K44">
        <v>4</v>
      </c>
      <c r="L44" s="8">
        <v>0.80210000000000004</v>
      </c>
      <c r="N44" s="7">
        <v>8</v>
      </c>
      <c r="O44">
        <v>22</v>
      </c>
      <c r="P44" s="8">
        <v>0.57332499999999997</v>
      </c>
      <c r="R44" s="7">
        <v>8</v>
      </c>
      <c r="S44">
        <v>11</v>
      </c>
      <c r="T44" s="8">
        <v>0.64170000000000005</v>
      </c>
    </row>
    <row r="45" spans="2:20" x14ac:dyDescent="0.3">
      <c r="B45" s="7">
        <v>9</v>
      </c>
      <c r="C45">
        <v>25</v>
      </c>
      <c r="D45" s="8">
        <v>0.75004999999999999</v>
      </c>
      <c r="F45" s="7">
        <v>9</v>
      </c>
      <c r="G45">
        <v>10</v>
      </c>
      <c r="H45" s="8">
        <v>0.87177499999999997</v>
      </c>
      <c r="J45" s="7">
        <v>9</v>
      </c>
      <c r="K45">
        <v>3</v>
      </c>
      <c r="L45" s="8">
        <v>0.79579999999999995</v>
      </c>
      <c r="N45" s="7">
        <v>9</v>
      </c>
      <c r="O45">
        <v>24</v>
      </c>
      <c r="P45" s="8">
        <v>0.56687500000000002</v>
      </c>
      <c r="R45" s="7">
        <v>9</v>
      </c>
      <c r="S45">
        <v>16</v>
      </c>
      <c r="T45" s="8">
        <v>0.63787499999999997</v>
      </c>
    </row>
    <row r="46" spans="2:20" x14ac:dyDescent="0.3">
      <c r="B46" s="7">
        <v>10</v>
      </c>
      <c r="C46">
        <v>6</v>
      </c>
      <c r="D46" s="8">
        <v>0.73112500000000002</v>
      </c>
      <c r="F46" s="7">
        <v>10</v>
      </c>
      <c r="G46">
        <v>3</v>
      </c>
      <c r="H46" s="8">
        <v>0.867871795</v>
      </c>
      <c r="J46" s="7">
        <v>10</v>
      </c>
      <c r="K46">
        <v>2</v>
      </c>
      <c r="L46" s="8">
        <v>0.76039999999999996</v>
      </c>
      <c r="N46" s="7">
        <v>10</v>
      </c>
      <c r="O46">
        <v>3</v>
      </c>
      <c r="P46" s="8">
        <v>0.56374999999999997</v>
      </c>
      <c r="R46" s="7">
        <v>10</v>
      </c>
      <c r="S46">
        <v>10</v>
      </c>
      <c r="T46" s="8">
        <v>0.62180000000000002</v>
      </c>
    </row>
    <row r="47" spans="2:20" x14ac:dyDescent="0.3">
      <c r="B47" s="7">
        <v>11</v>
      </c>
      <c r="C47">
        <v>26</v>
      </c>
      <c r="D47" s="8">
        <v>0.72672499999999995</v>
      </c>
      <c r="F47" s="7">
        <v>11</v>
      </c>
      <c r="G47">
        <v>11</v>
      </c>
      <c r="H47" s="8">
        <v>0.85850000000000004</v>
      </c>
      <c r="J47" s="7">
        <v>11</v>
      </c>
      <c r="K47">
        <v>24</v>
      </c>
      <c r="L47" s="8">
        <v>0.73119999999999996</v>
      </c>
      <c r="N47" s="7">
        <v>11</v>
      </c>
      <c r="O47">
        <v>4</v>
      </c>
      <c r="P47" s="8">
        <v>0.56220000000000003</v>
      </c>
      <c r="R47" s="7">
        <v>11</v>
      </c>
      <c r="S47">
        <v>7</v>
      </c>
      <c r="T47" s="8">
        <v>0.618425</v>
      </c>
    </row>
    <row r="48" spans="2:20" x14ac:dyDescent="0.3">
      <c r="B48" s="7">
        <v>12</v>
      </c>
      <c r="C48">
        <v>17</v>
      </c>
      <c r="D48" s="8">
        <v>0.72160000000000002</v>
      </c>
      <c r="F48" s="7">
        <v>12</v>
      </c>
      <c r="G48">
        <v>9</v>
      </c>
      <c r="H48" s="8">
        <v>0.85810256399999996</v>
      </c>
      <c r="J48" s="7">
        <v>12</v>
      </c>
      <c r="K48">
        <v>23</v>
      </c>
      <c r="L48" s="8">
        <v>0.70830000000000004</v>
      </c>
      <c r="N48" s="7">
        <v>12</v>
      </c>
      <c r="O48">
        <v>17</v>
      </c>
      <c r="P48" s="8">
        <v>0.556975</v>
      </c>
      <c r="R48" s="7">
        <v>12</v>
      </c>
      <c r="S48">
        <v>4</v>
      </c>
      <c r="T48" s="8">
        <v>0.61789189200000005</v>
      </c>
    </row>
    <row r="49" spans="2:20" x14ac:dyDescent="0.3">
      <c r="B49" s="7">
        <v>13</v>
      </c>
      <c r="C49">
        <v>23</v>
      </c>
      <c r="D49" s="8">
        <v>0.70867500000000005</v>
      </c>
      <c r="F49" s="7">
        <v>13</v>
      </c>
      <c r="G49">
        <v>5</v>
      </c>
      <c r="H49" s="8">
        <v>0.85604999999999998</v>
      </c>
      <c r="J49" s="7">
        <v>13</v>
      </c>
      <c r="K49">
        <v>17</v>
      </c>
      <c r="L49" s="8">
        <v>0.693025</v>
      </c>
      <c r="N49" s="7">
        <v>13</v>
      </c>
      <c r="O49">
        <v>23</v>
      </c>
      <c r="P49" s="8">
        <v>0.552925</v>
      </c>
      <c r="R49" s="7">
        <v>13</v>
      </c>
      <c r="S49">
        <v>8</v>
      </c>
      <c r="T49" s="8">
        <v>0.61709999999999998</v>
      </c>
    </row>
    <row r="50" spans="2:20" x14ac:dyDescent="0.3">
      <c r="B50" s="7">
        <v>14</v>
      </c>
      <c r="C50">
        <v>3</v>
      </c>
      <c r="D50" s="8">
        <v>0.68530769199999997</v>
      </c>
      <c r="F50" s="7">
        <v>14</v>
      </c>
      <c r="G50">
        <v>7</v>
      </c>
      <c r="H50" s="8">
        <v>0.85572499999999996</v>
      </c>
      <c r="J50" s="7">
        <v>14</v>
      </c>
      <c r="K50">
        <v>25</v>
      </c>
      <c r="L50" s="8">
        <v>0.67184999999999995</v>
      </c>
      <c r="N50" s="7">
        <v>14</v>
      </c>
      <c r="O50">
        <v>2</v>
      </c>
      <c r="P50" s="8">
        <v>0.55159999999999998</v>
      </c>
      <c r="R50" s="7">
        <v>14</v>
      </c>
      <c r="S50">
        <v>3</v>
      </c>
      <c r="T50" s="8">
        <v>0.61381578999999997</v>
      </c>
    </row>
    <row r="51" spans="2:20" x14ac:dyDescent="0.3">
      <c r="B51" s="7">
        <v>15</v>
      </c>
      <c r="C51">
        <v>4</v>
      </c>
      <c r="D51" s="8">
        <v>0.67782500000000001</v>
      </c>
      <c r="F51" s="7">
        <v>15</v>
      </c>
      <c r="G51">
        <v>4</v>
      </c>
      <c r="H51" s="8">
        <v>0.85569230799999996</v>
      </c>
      <c r="J51" s="7">
        <v>15</v>
      </c>
      <c r="K51">
        <v>22</v>
      </c>
      <c r="L51" s="8">
        <v>0.670825</v>
      </c>
      <c r="N51" s="7">
        <v>15</v>
      </c>
      <c r="O51">
        <v>25</v>
      </c>
      <c r="P51" s="8">
        <v>0.54362500000000002</v>
      </c>
      <c r="R51" s="7">
        <v>15</v>
      </c>
      <c r="S51">
        <v>6</v>
      </c>
      <c r="T51" s="8">
        <v>0.60680000000000001</v>
      </c>
    </row>
    <row r="52" spans="2:20" x14ac:dyDescent="0.3">
      <c r="B52" s="7">
        <v>16</v>
      </c>
      <c r="C52">
        <v>22</v>
      </c>
      <c r="D52" s="8">
        <v>0.67347500000000005</v>
      </c>
      <c r="F52" s="7">
        <v>16</v>
      </c>
      <c r="G52">
        <v>19</v>
      </c>
      <c r="H52" s="8">
        <v>0.84457499999999996</v>
      </c>
      <c r="J52" s="7">
        <v>16</v>
      </c>
      <c r="K52">
        <v>21</v>
      </c>
      <c r="L52" s="8">
        <v>0.65764999999999996</v>
      </c>
      <c r="N52" s="7">
        <v>16</v>
      </c>
      <c r="O52">
        <v>21</v>
      </c>
      <c r="P52" s="8">
        <v>0.53249999999999997</v>
      </c>
      <c r="R52" s="7">
        <v>16</v>
      </c>
      <c r="S52">
        <v>31</v>
      </c>
      <c r="T52" s="8">
        <v>0.56492500000000001</v>
      </c>
    </row>
    <row r="53" spans="2:20" x14ac:dyDescent="0.3">
      <c r="B53" s="7">
        <v>17</v>
      </c>
      <c r="C53">
        <v>2</v>
      </c>
      <c r="D53" s="8">
        <v>0.63234999999999997</v>
      </c>
      <c r="F53" s="7">
        <v>17</v>
      </c>
      <c r="G53">
        <v>28</v>
      </c>
      <c r="H53" s="8">
        <v>0.83774999999999999</v>
      </c>
      <c r="J53" s="7">
        <v>17</v>
      </c>
      <c r="K53">
        <v>26</v>
      </c>
      <c r="L53" s="8">
        <v>0.65347500000000003</v>
      </c>
      <c r="N53" s="7">
        <v>17</v>
      </c>
      <c r="O53">
        <v>26</v>
      </c>
      <c r="P53" s="8">
        <v>0.53207499999999996</v>
      </c>
      <c r="R53" s="7">
        <v>17</v>
      </c>
      <c r="S53">
        <v>17</v>
      </c>
      <c r="T53" s="8">
        <v>0.56220000000000003</v>
      </c>
    </row>
    <row r="54" spans="2:20" x14ac:dyDescent="0.3">
      <c r="B54" s="7">
        <v>18</v>
      </c>
      <c r="C54">
        <v>19</v>
      </c>
      <c r="D54" s="8">
        <v>0.62495000000000001</v>
      </c>
      <c r="F54" s="7">
        <v>18</v>
      </c>
      <c r="G54">
        <v>15</v>
      </c>
      <c r="H54" s="8">
        <v>0.83242499999999997</v>
      </c>
      <c r="J54" s="7">
        <v>18</v>
      </c>
      <c r="K54">
        <v>18</v>
      </c>
      <c r="L54" s="8">
        <v>0.62707500000000005</v>
      </c>
      <c r="N54" s="7">
        <v>18</v>
      </c>
      <c r="O54">
        <v>19</v>
      </c>
      <c r="P54" s="8">
        <v>0.52224999999999999</v>
      </c>
      <c r="R54" s="7">
        <v>18</v>
      </c>
      <c r="S54">
        <v>9</v>
      </c>
      <c r="T54" s="8">
        <v>0.55495000000000005</v>
      </c>
    </row>
    <row r="55" spans="2:20" x14ac:dyDescent="0.3">
      <c r="B55" s="7">
        <v>19</v>
      </c>
      <c r="C55">
        <v>18</v>
      </c>
      <c r="D55" s="8">
        <v>0.60050000000000003</v>
      </c>
      <c r="F55" s="7">
        <v>19</v>
      </c>
      <c r="G55">
        <v>29</v>
      </c>
      <c r="H55" s="8">
        <v>0.82325000000000004</v>
      </c>
      <c r="J55" s="7">
        <v>19</v>
      </c>
      <c r="K55">
        <v>20</v>
      </c>
      <c r="L55" s="8">
        <v>0.62014999999999998</v>
      </c>
      <c r="N55" s="7">
        <v>19</v>
      </c>
      <c r="O55">
        <v>18</v>
      </c>
      <c r="P55" s="8">
        <v>0.52082499999999998</v>
      </c>
      <c r="R55" s="7">
        <v>19</v>
      </c>
      <c r="S55">
        <v>18</v>
      </c>
      <c r="T55" s="8">
        <v>0.54364999999999997</v>
      </c>
    </row>
    <row r="56" spans="2:20" x14ac:dyDescent="0.3">
      <c r="B56" s="7">
        <v>20</v>
      </c>
      <c r="C56">
        <v>20</v>
      </c>
      <c r="D56" s="8">
        <v>0.54869999999999997</v>
      </c>
      <c r="F56" s="7">
        <v>20</v>
      </c>
      <c r="G56">
        <v>17</v>
      </c>
      <c r="H56" s="8">
        <v>0.79400000000000004</v>
      </c>
      <c r="J56" s="7">
        <v>20</v>
      </c>
      <c r="K56">
        <v>19</v>
      </c>
      <c r="L56" s="8">
        <v>0.56389999999999996</v>
      </c>
      <c r="N56" s="7">
        <v>20</v>
      </c>
      <c r="O56">
        <v>20</v>
      </c>
      <c r="P56" s="8">
        <v>0.44164999999999999</v>
      </c>
      <c r="R56" s="7">
        <v>20</v>
      </c>
      <c r="S56">
        <v>19</v>
      </c>
      <c r="T56" s="8">
        <v>0.53725000000000001</v>
      </c>
    </row>
    <row r="57" spans="2:20" x14ac:dyDescent="0.3">
      <c r="B57" s="7">
        <v>21</v>
      </c>
      <c r="C57">
        <v>11</v>
      </c>
      <c r="D57" s="8">
        <v>0.40533333300000002</v>
      </c>
      <c r="F57" s="7">
        <v>21</v>
      </c>
      <c r="G57">
        <v>30</v>
      </c>
      <c r="H57" s="8">
        <v>0.79364999999999997</v>
      </c>
      <c r="J57" s="7">
        <v>21</v>
      </c>
      <c r="K57">
        <v>12</v>
      </c>
      <c r="L57" s="8">
        <v>0.54654999999999998</v>
      </c>
      <c r="N57" s="7">
        <v>21</v>
      </c>
      <c r="O57">
        <v>15</v>
      </c>
      <c r="P57" s="8">
        <v>0.41539999999999999</v>
      </c>
      <c r="R57" s="7">
        <v>21</v>
      </c>
      <c r="S57">
        <v>29</v>
      </c>
      <c r="T57" s="8">
        <v>0.53522499999999995</v>
      </c>
    </row>
    <row r="58" spans="2:20" x14ac:dyDescent="0.3">
      <c r="B58" s="7">
        <v>22</v>
      </c>
      <c r="C58">
        <v>13</v>
      </c>
      <c r="D58" s="8">
        <v>0.37974999999999998</v>
      </c>
      <c r="F58" s="7">
        <v>22</v>
      </c>
      <c r="G58">
        <v>24</v>
      </c>
      <c r="H58" s="8">
        <v>0.79325000000000001</v>
      </c>
      <c r="J58" s="7">
        <v>22</v>
      </c>
      <c r="K58">
        <v>15</v>
      </c>
      <c r="L58" s="8">
        <v>0.53705000000000003</v>
      </c>
      <c r="N58" s="7">
        <v>22</v>
      </c>
      <c r="O58">
        <v>16</v>
      </c>
      <c r="P58" s="8">
        <v>0.33029999999999998</v>
      </c>
      <c r="R58" s="7">
        <v>22</v>
      </c>
      <c r="S58">
        <v>30</v>
      </c>
      <c r="T58" s="8">
        <v>0.52354999999999996</v>
      </c>
    </row>
    <row r="59" spans="2:20" x14ac:dyDescent="0.3">
      <c r="B59" s="7">
        <v>23</v>
      </c>
      <c r="C59">
        <v>12</v>
      </c>
      <c r="D59" s="8">
        <v>0.37940000000000002</v>
      </c>
      <c r="F59" s="7">
        <v>23</v>
      </c>
      <c r="G59">
        <v>27</v>
      </c>
      <c r="H59" s="8">
        <v>0.79195000000000004</v>
      </c>
      <c r="J59" s="7">
        <v>23</v>
      </c>
      <c r="K59">
        <v>31</v>
      </c>
      <c r="L59" s="8">
        <v>0.51249999999999996</v>
      </c>
      <c r="N59" s="7">
        <v>23</v>
      </c>
      <c r="O59">
        <v>32</v>
      </c>
      <c r="P59" s="8">
        <v>0.3251</v>
      </c>
      <c r="R59" s="7">
        <v>23</v>
      </c>
      <c r="S59">
        <v>28</v>
      </c>
      <c r="T59" s="8">
        <v>0.51170000000000004</v>
      </c>
    </row>
    <row r="60" spans="2:20" x14ac:dyDescent="0.3">
      <c r="B60" s="7">
        <v>24</v>
      </c>
      <c r="C60">
        <v>16</v>
      </c>
      <c r="D60" s="8">
        <v>0.3654</v>
      </c>
      <c r="F60" s="7">
        <v>24</v>
      </c>
      <c r="G60">
        <v>18</v>
      </c>
      <c r="H60" s="8">
        <v>0.78795000000000004</v>
      </c>
      <c r="J60" s="7">
        <v>24</v>
      </c>
      <c r="K60">
        <v>29</v>
      </c>
      <c r="L60" s="8">
        <v>0.49375000000000002</v>
      </c>
      <c r="N60" s="7">
        <v>24</v>
      </c>
      <c r="O60">
        <v>13</v>
      </c>
      <c r="P60" s="8">
        <v>0.30017500000000003</v>
      </c>
      <c r="R60" s="7">
        <v>24</v>
      </c>
      <c r="S60">
        <v>27</v>
      </c>
      <c r="T60" s="8">
        <v>0.50334999999999996</v>
      </c>
    </row>
    <row r="61" spans="2:20" x14ac:dyDescent="0.3">
      <c r="B61" s="7">
        <v>25</v>
      </c>
      <c r="C61">
        <v>27</v>
      </c>
      <c r="D61" s="8">
        <v>0.36259999999999998</v>
      </c>
      <c r="F61" s="7">
        <v>25</v>
      </c>
      <c r="G61">
        <v>31</v>
      </c>
      <c r="H61" s="8">
        <v>0.77725</v>
      </c>
      <c r="J61" s="7">
        <v>25</v>
      </c>
      <c r="K61">
        <v>13</v>
      </c>
      <c r="L61" s="8">
        <v>0.49159999999999998</v>
      </c>
      <c r="N61" s="7">
        <v>25</v>
      </c>
      <c r="O61">
        <v>11</v>
      </c>
      <c r="P61" s="8">
        <v>0.28937499999999999</v>
      </c>
      <c r="R61" s="7">
        <v>25</v>
      </c>
      <c r="S61">
        <v>32</v>
      </c>
      <c r="T61" s="8">
        <v>0.49935000000000002</v>
      </c>
    </row>
    <row r="62" spans="2:20" x14ac:dyDescent="0.3">
      <c r="B62" s="7">
        <v>26</v>
      </c>
      <c r="C62">
        <v>32</v>
      </c>
      <c r="D62" s="8">
        <v>0.35767500000000002</v>
      </c>
      <c r="F62" s="7">
        <v>26</v>
      </c>
      <c r="G62">
        <v>23</v>
      </c>
      <c r="H62" s="8">
        <v>0.767675</v>
      </c>
      <c r="J62" s="7">
        <v>26</v>
      </c>
      <c r="K62">
        <v>16</v>
      </c>
      <c r="L62" s="8">
        <v>0.48362500000000003</v>
      </c>
      <c r="N62" s="7">
        <v>26</v>
      </c>
      <c r="O62">
        <v>31</v>
      </c>
      <c r="P62" s="8">
        <v>0.285825</v>
      </c>
      <c r="R62" s="7">
        <v>26</v>
      </c>
      <c r="S62">
        <v>22</v>
      </c>
      <c r="T62" s="8">
        <v>0.495</v>
      </c>
    </row>
    <row r="63" spans="2:20" x14ac:dyDescent="0.3">
      <c r="B63" s="7">
        <v>27</v>
      </c>
      <c r="C63">
        <v>15</v>
      </c>
      <c r="D63" s="8">
        <v>0.33534999999999998</v>
      </c>
      <c r="F63" s="7">
        <v>27</v>
      </c>
      <c r="G63">
        <v>22</v>
      </c>
      <c r="H63" s="8">
        <v>0.76705000000000001</v>
      </c>
      <c r="J63" s="7">
        <v>27</v>
      </c>
      <c r="K63">
        <v>11</v>
      </c>
      <c r="L63" s="8">
        <v>0.470775</v>
      </c>
      <c r="N63" s="7">
        <v>27</v>
      </c>
      <c r="O63">
        <v>14</v>
      </c>
      <c r="P63" s="8">
        <v>0.26845000000000002</v>
      </c>
      <c r="R63" s="7">
        <v>27</v>
      </c>
      <c r="S63">
        <v>20</v>
      </c>
      <c r="T63" s="8">
        <v>0.49417499999999998</v>
      </c>
    </row>
    <row r="64" spans="2:20" x14ac:dyDescent="0.3">
      <c r="B64" s="9">
        <v>28</v>
      </c>
      <c r="C64" s="10">
        <v>14</v>
      </c>
      <c r="D64" s="11">
        <v>0.30322500000000002</v>
      </c>
      <c r="F64" s="9">
        <v>28</v>
      </c>
      <c r="G64" s="10">
        <v>32</v>
      </c>
      <c r="H64" s="11">
        <v>0.75332500000000002</v>
      </c>
      <c r="J64" s="9">
        <v>28</v>
      </c>
      <c r="K64" s="10">
        <v>14</v>
      </c>
      <c r="L64" s="11">
        <v>0.4496</v>
      </c>
      <c r="N64" s="9">
        <v>28</v>
      </c>
      <c r="O64" s="10">
        <v>12</v>
      </c>
      <c r="P64" s="11">
        <v>0.24230769199999999</v>
      </c>
      <c r="R64" s="9">
        <v>28</v>
      </c>
      <c r="S64" s="10">
        <v>21</v>
      </c>
      <c r="T64" s="11">
        <v>0.47797499999999998</v>
      </c>
    </row>
    <row r="65" spans="1:20" x14ac:dyDescent="0.3">
      <c r="B65" s="9">
        <v>29</v>
      </c>
      <c r="C65" s="10">
        <v>30</v>
      </c>
      <c r="D65" s="11">
        <v>0.30007499999999998</v>
      </c>
      <c r="F65" s="9">
        <v>29</v>
      </c>
      <c r="G65" s="10">
        <v>20</v>
      </c>
      <c r="H65" s="11">
        <v>0.74904999999999999</v>
      </c>
      <c r="J65" s="9">
        <v>29</v>
      </c>
      <c r="K65" s="10">
        <v>27</v>
      </c>
      <c r="L65" s="11">
        <v>0.43472499999999997</v>
      </c>
      <c r="N65" s="9">
        <v>29</v>
      </c>
      <c r="O65" s="10">
        <v>29</v>
      </c>
      <c r="P65" s="11">
        <v>0.23197499999999999</v>
      </c>
      <c r="R65" s="9">
        <v>29</v>
      </c>
      <c r="S65" s="10">
        <v>24</v>
      </c>
      <c r="T65" s="11">
        <v>0.47082499999999999</v>
      </c>
    </row>
    <row r="66" spans="1:20" x14ac:dyDescent="0.3">
      <c r="B66" s="9">
        <v>30</v>
      </c>
      <c r="C66" s="10">
        <v>29</v>
      </c>
      <c r="D66" s="11">
        <v>0.29310000000000003</v>
      </c>
      <c r="F66" s="9">
        <v>30</v>
      </c>
      <c r="G66" s="10">
        <v>21</v>
      </c>
      <c r="H66" s="11">
        <v>0.74457499999999999</v>
      </c>
      <c r="J66" s="9">
        <v>30</v>
      </c>
      <c r="K66" s="10">
        <v>30</v>
      </c>
      <c r="L66" s="11">
        <v>0.40555000000000002</v>
      </c>
      <c r="N66" s="9">
        <v>30</v>
      </c>
      <c r="O66" s="10">
        <v>30</v>
      </c>
      <c r="P66" s="11">
        <v>0.22927500000000001</v>
      </c>
      <c r="R66" s="9">
        <v>30</v>
      </c>
      <c r="S66" s="10">
        <v>26</v>
      </c>
      <c r="T66" s="11">
        <v>0.46965000000000001</v>
      </c>
    </row>
    <row r="67" spans="1:20" x14ac:dyDescent="0.3">
      <c r="B67" s="9">
        <v>31</v>
      </c>
      <c r="C67" s="10">
        <v>31</v>
      </c>
      <c r="D67" s="11">
        <v>0.292875</v>
      </c>
      <c r="F67" s="9">
        <v>31</v>
      </c>
      <c r="G67" s="10">
        <v>25</v>
      </c>
      <c r="H67" s="11">
        <v>0.73629999999999995</v>
      </c>
      <c r="J67" s="9">
        <v>31</v>
      </c>
      <c r="K67" s="10">
        <v>28</v>
      </c>
      <c r="L67" s="11">
        <v>0.4</v>
      </c>
      <c r="N67" s="9">
        <v>31</v>
      </c>
      <c r="O67" s="10">
        <v>27</v>
      </c>
      <c r="P67" s="11">
        <v>0.21875</v>
      </c>
      <c r="R67" s="9">
        <v>31</v>
      </c>
      <c r="S67" s="10">
        <v>23</v>
      </c>
      <c r="T67" s="11">
        <v>0.46450000000000002</v>
      </c>
    </row>
    <row r="68" spans="1:20" ht="15" thickBot="1" x14ac:dyDescent="0.35">
      <c r="A68" s="12"/>
      <c r="B68" s="13">
        <v>32</v>
      </c>
      <c r="C68" s="14">
        <v>28</v>
      </c>
      <c r="D68" s="15">
        <v>0.28842499999999999</v>
      </c>
      <c r="F68" s="13">
        <v>32</v>
      </c>
      <c r="G68" s="14">
        <v>26</v>
      </c>
      <c r="H68" s="15">
        <v>0.73514999999999997</v>
      </c>
      <c r="J68" s="13">
        <v>32</v>
      </c>
      <c r="K68" s="14">
        <v>32</v>
      </c>
      <c r="L68" s="15">
        <v>0.39805000000000001</v>
      </c>
      <c r="N68" s="13">
        <v>32</v>
      </c>
      <c r="O68" s="14">
        <v>28</v>
      </c>
      <c r="P68" s="15">
        <v>0.17605000000000001</v>
      </c>
      <c r="R68" s="13">
        <v>32</v>
      </c>
      <c r="S68" s="14">
        <v>25</v>
      </c>
      <c r="T68" s="15">
        <v>0.46415000000000001</v>
      </c>
    </row>
    <row r="70" spans="1:20" ht="15" thickBot="1" x14ac:dyDescent="0.35"/>
    <row r="71" spans="1:20" ht="15" thickBot="1" x14ac:dyDescent="0.35">
      <c r="B71" s="77" t="s">
        <v>1</v>
      </c>
      <c r="C71" s="78" t="s">
        <v>17</v>
      </c>
      <c r="D71" s="79" t="s">
        <v>18</v>
      </c>
      <c r="E71" s="78" t="s">
        <v>19</v>
      </c>
      <c r="F71" s="79" t="s">
        <v>20</v>
      </c>
      <c r="G71" s="78" t="s">
        <v>21</v>
      </c>
      <c r="H71" s="79" t="s">
        <v>22</v>
      </c>
      <c r="I71" s="80" t="s">
        <v>23</v>
      </c>
    </row>
    <row r="72" spans="1:20" x14ac:dyDescent="0.3">
      <c r="B72" s="81">
        <v>1</v>
      </c>
      <c r="C72" s="119">
        <v>6</v>
      </c>
      <c r="D72" s="90">
        <v>3</v>
      </c>
      <c r="E72" s="119">
        <v>7</v>
      </c>
      <c r="F72" s="90">
        <v>6</v>
      </c>
      <c r="G72" s="119">
        <v>2</v>
      </c>
      <c r="H72" s="62">
        <f>(32-C72)+(32-D72)+(32-E72)+(32-F72)+(32-G72)</f>
        <v>136</v>
      </c>
      <c r="I72" s="115">
        <f>_xlfn.RANK.EQ(H72,$H$72:$H$103,0)+COUNTIF($H$72:H72,H72)-1</f>
        <v>1</v>
      </c>
    </row>
    <row r="73" spans="1:20" x14ac:dyDescent="0.3">
      <c r="B73" s="61">
        <v>2</v>
      </c>
      <c r="C73" s="120">
        <v>17</v>
      </c>
      <c r="D73" s="96">
        <v>4</v>
      </c>
      <c r="E73" s="95">
        <v>10</v>
      </c>
      <c r="F73" s="96">
        <v>14</v>
      </c>
      <c r="G73" s="95">
        <v>6</v>
      </c>
      <c r="H73" s="97">
        <f t="shared" ref="H73:H103" si="0">(32-C73)+(32-D73)+(32-E73)+(32-F73)+(32-G73)</f>
        <v>109</v>
      </c>
      <c r="I73" s="123">
        <f>_xlfn.RANK.EQ(H73,$H$72:$H$103,0)+COUNTIF($H$72:H73,H73)-1</f>
        <v>8</v>
      </c>
    </row>
    <row r="74" spans="1:20" x14ac:dyDescent="0.3">
      <c r="A74" s="12"/>
      <c r="B74" s="61">
        <v>3</v>
      </c>
      <c r="C74" s="121">
        <v>14</v>
      </c>
      <c r="D74" s="84">
        <v>10</v>
      </c>
      <c r="E74" s="83">
        <v>9</v>
      </c>
      <c r="F74" s="84">
        <v>10</v>
      </c>
      <c r="G74" s="83">
        <v>14</v>
      </c>
      <c r="H74" s="85">
        <f t="shared" si="0"/>
        <v>103</v>
      </c>
      <c r="I74" s="117">
        <f>_xlfn.RANK.EQ(H74,$H$72:$H$103,0)+COUNTIF($H$72:H74,H74)-1</f>
        <v>9</v>
      </c>
    </row>
    <row r="75" spans="1:20" x14ac:dyDescent="0.3">
      <c r="B75" s="61">
        <v>4</v>
      </c>
      <c r="C75" s="125">
        <v>15</v>
      </c>
      <c r="D75" s="86">
        <v>15</v>
      </c>
      <c r="E75" s="125">
        <v>8</v>
      </c>
      <c r="F75" s="86">
        <v>11</v>
      </c>
      <c r="G75" s="125">
        <v>12</v>
      </c>
      <c r="H75" s="82">
        <f t="shared" si="0"/>
        <v>99</v>
      </c>
      <c r="I75" s="123">
        <f>_xlfn.RANK.EQ(H75,$H$72:$H$103,0)+COUNTIF($H$72:H75,H75)-1</f>
        <v>10</v>
      </c>
    </row>
    <row r="76" spans="1:20" x14ac:dyDescent="0.3">
      <c r="B76" s="87">
        <v>5</v>
      </c>
      <c r="C76" s="88">
        <v>8</v>
      </c>
      <c r="D76" s="89">
        <v>13</v>
      </c>
      <c r="E76" s="88">
        <v>1</v>
      </c>
      <c r="F76" s="89">
        <v>1</v>
      </c>
      <c r="G76" s="88">
        <v>1</v>
      </c>
      <c r="H76" s="122">
        <f t="shared" si="0"/>
        <v>136</v>
      </c>
      <c r="I76" s="116">
        <f>_xlfn.RANK.EQ(H76,$H$72:$H$103,0)+COUNTIF($H$72:H76,H76)-1</f>
        <v>2</v>
      </c>
    </row>
    <row r="77" spans="1:20" x14ac:dyDescent="0.3">
      <c r="B77" s="87">
        <v>6</v>
      </c>
      <c r="C77" s="88">
        <v>10</v>
      </c>
      <c r="D77" s="89">
        <v>5</v>
      </c>
      <c r="E77" s="88">
        <v>4</v>
      </c>
      <c r="F77" s="89">
        <v>5</v>
      </c>
      <c r="G77" s="88">
        <v>15</v>
      </c>
      <c r="H77" s="60">
        <f t="shared" si="0"/>
        <v>121</v>
      </c>
      <c r="I77" s="126">
        <f>_xlfn.RANK.EQ(H77,$H$72:$H$103,0)+COUNTIF($H$72:H77,H77)-1</f>
        <v>6</v>
      </c>
    </row>
    <row r="78" spans="1:20" x14ac:dyDescent="0.3">
      <c r="B78" s="87">
        <v>7</v>
      </c>
      <c r="C78" s="88">
        <v>4</v>
      </c>
      <c r="D78" s="89">
        <v>14</v>
      </c>
      <c r="E78" s="88">
        <v>2</v>
      </c>
      <c r="F78" s="89">
        <v>3</v>
      </c>
      <c r="G78" s="88">
        <v>11</v>
      </c>
      <c r="H78" s="71">
        <f t="shared" si="0"/>
        <v>126</v>
      </c>
      <c r="I78" s="116">
        <f>_xlfn.RANK.EQ(H78,$H$72:$H$103,0)+COUNTIF($H$72:H78,H78)-1</f>
        <v>5</v>
      </c>
    </row>
    <row r="79" spans="1:20" x14ac:dyDescent="0.3">
      <c r="B79" s="87">
        <v>8</v>
      </c>
      <c r="C79" s="88">
        <v>1</v>
      </c>
      <c r="D79" s="89">
        <v>8</v>
      </c>
      <c r="E79" s="88">
        <v>3</v>
      </c>
      <c r="F79" s="89">
        <v>2</v>
      </c>
      <c r="G79" s="88">
        <v>13</v>
      </c>
      <c r="H79" s="60">
        <f t="shared" si="0"/>
        <v>133</v>
      </c>
      <c r="I79" s="126">
        <f>_xlfn.RANK.EQ(H79,$H$72:$H$103,0)+COUNTIF($H$72:H79,H79)-1</f>
        <v>3</v>
      </c>
    </row>
    <row r="80" spans="1:20" x14ac:dyDescent="0.3">
      <c r="B80" s="61">
        <v>9</v>
      </c>
      <c r="C80" s="83">
        <v>3</v>
      </c>
      <c r="D80" s="84">
        <v>12</v>
      </c>
      <c r="E80" s="83">
        <v>6</v>
      </c>
      <c r="F80" s="84">
        <v>7</v>
      </c>
      <c r="G80" s="83">
        <v>18</v>
      </c>
      <c r="H80" s="85">
        <f t="shared" si="0"/>
        <v>114</v>
      </c>
      <c r="I80" s="123">
        <f>_xlfn.RANK.EQ(H80,$H$72:$H$103,0)+COUNTIF($H$72:H80,H80)-1</f>
        <v>7</v>
      </c>
    </row>
    <row r="81" spans="2:9" x14ac:dyDescent="0.3">
      <c r="B81" s="87">
        <v>10</v>
      </c>
      <c r="C81" s="119">
        <v>2</v>
      </c>
      <c r="D81" s="90">
        <v>9</v>
      </c>
      <c r="E81" s="119">
        <v>5</v>
      </c>
      <c r="F81" s="90">
        <v>4</v>
      </c>
      <c r="G81" s="119">
        <v>10</v>
      </c>
      <c r="H81" s="62">
        <f t="shared" si="0"/>
        <v>130</v>
      </c>
      <c r="I81" s="127">
        <f>_xlfn.RANK.EQ(H81,$H$72:$H$103,0)+COUNTIF($H$72:H81,H81)-1</f>
        <v>4</v>
      </c>
    </row>
    <row r="82" spans="2:9" x14ac:dyDescent="0.3">
      <c r="B82" s="61">
        <v>11</v>
      </c>
      <c r="C82" s="83">
        <v>21</v>
      </c>
      <c r="D82" s="84">
        <v>11</v>
      </c>
      <c r="E82" s="83">
        <v>27</v>
      </c>
      <c r="F82" s="84">
        <v>25</v>
      </c>
      <c r="G82" s="83">
        <v>8</v>
      </c>
      <c r="H82" s="85">
        <f t="shared" si="0"/>
        <v>68</v>
      </c>
      <c r="I82" s="123">
        <f>_xlfn.RANK.EQ(H82,$H$72:$H$103,0)+COUNTIF($H$72:H82,H82)-1</f>
        <v>18</v>
      </c>
    </row>
    <row r="83" spans="2:9" x14ac:dyDescent="0.3">
      <c r="B83" s="61">
        <v>12</v>
      </c>
      <c r="C83" s="83">
        <v>23</v>
      </c>
      <c r="D83" s="84">
        <v>7</v>
      </c>
      <c r="E83" s="83">
        <v>21</v>
      </c>
      <c r="F83" s="84">
        <v>28</v>
      </c>
      <c r="G83" s="83">
        <v>5</v>
      </c>
      <c r="H83" s="85">
        <f t="shared" si="0"/>
        <v>76</v>
      </c>
      <c r="I83" s="123">
        <f>_xlfn.RANK.EQ(H83,$H$72:$H$103,0)+COUNTIF($H$72:H83,H83)-1</f>
        <v>14</v>
      </c>
    </row>
    <row r="84" spans="2:9" x14ac:dyDescent="0.3">
      <c r="B84" s="61">
        <v>13</v>
      </c>
      <c r="C84" s="125">
        <v>22</v>
      </c>
      <c r="D84" s="86">
        <v>6</v>
      </c>
      <c r="E84" s="125">
        <v>25</v>
      </c>
      <c r="F84" s="86">
        <v>24</v>
      </c>
      <c r="G84" s="125">
        <v>7</v>
      </c>
      <c r="H84" s="82">
        <f t="shared" si="0"/>
        <v>76</v>
      </c>
      <c r="I84" s="123">
        <f>_xlfn.RANK.EQ(H84,$H$72:$H$103,0)+COUNTIF($H$72:H84,H84)-1</f>
        <v>15</v>
      </c>
    </row>
    <row r="85" spans="2:9" x14ac:dyDescent="0.3">
      <c r="B85" s="61">
        <v>14</v>
      </c>
      <c r="C85" s="83">
        <v>28</v>
      </c>
      <c r="D85" s="84">
        <v>1</v>
      </c>
      <c r="E85" s="83">
        <v>28</v>
      </c>
      <c r="F85" s="84">
        <v>27</v>
      </c>
      <c r="G85" s="83">
        <v>4</v>
      </c>
      <c r="H85" s="85">
        <f t="shared" si="0"/>
        <v>72</v>
      </c>
      <c r="I85" s="123">
        <f>_xlfn.RANK.EQ(H85,$H$72:$H$103,0)+COUNTIF($H$72:H85,H85)-1</f>
        <v>16</v>
      </c>
    </row>
    <row r="86" spans="2:9" x14ac:dyDescent="0.3">
      <c r="B86" s="61">
        <v>15</v>
      </c>
      <c r="C86" s="91">
        <v>27</v>
      </c>
      <c r="D86" s="92">
        <v>18</v>
      </c>
      <c r="E86" s="91">
        <v>22</v>
      </c>
      <c r="F86" s="92">
        <v>21</v>
      </c>
      <c r="G86" s="91">
        <v>3</v>
      </c>
      <c r="H86" s="85">
        <f t="shared" si="0"/>
        <v>69</v>
      </c>
      <c r="I86" s="123">
        <f>_xlfn.RANK.EQ(H86,$H$72:$H$103,0)+COUNTIF($H$72:H86,H86)-1</f>
        <v>17</v>
      </c>
    </row>
    <row r="87" spans="2:9" x14ac:dyDescent="0.3">
      <c r="B87" s="61">
        <v>16</v>
      </c>
      <c r="C87" s="83">
        <v>24</v>
      </c>
      <c r="D87" s="84">
        <v>2</v>
      </c>
      <c r="E87" s="83">
        <v>26</v>
      </c>
      <c r="F87" s="84">
        <v>22</v>
      </c>
      <c r="G87" s="83">
        <v>9</v>
      </c>
      <c r="H87" s="93">
        <f t="shared" si="0"/>
        <v>77</v>
      </c>
      <c r="I87" s="118">
        <f>_xlfn.RANK.EQ(H87,$H$72:$H$103,0)+COUNTIF($H$72:H87,H87)-1</f>
        <v>13</v>
      </c>
    </row>
    <row r="88" spans="2:9" x14ac:dyDescent="0.3">
      <c r="B88" s="25">
        <v>17</v>
      </c>
      <c r="C88" s="83">
        <v>12</v>
      </c>
      <c r="D88" s="84">
        <v>20</v>
      </c>
      <c r="E88" s="83">
        <v>13</v>
      </c>
      <c r="F88" s="84">
        <v>12</v>
      </c>
      <c r="G88" s="83">
        <v>17</v>
      </c>
      <c r="H88" s="85">
        <f t="shared" si="0"/>
        <v>86</v>
      </c>
      <c r="I88" s="123">
        <f>_xlfn.RANK.EQ(H88,$H$72:$H$103,0)+COUNTIF($H$72:H88,H88)-1</f>
        <v>11</v>
      </c>
    </row>
    <row r="89" spans="2:9" x14ac:dyDescent="0.3">
      <c r="B89" s="43">
        <v>18</v>
      </c>
      <c r="C89" s="91">
        <v>19</v>
      </c>
      <c r="D89" s="92">
        <v>24</v>
      </c>
      <c r="E89" s="91">
        <v>18</v>
      </c>
      <c r="F89" s="92">
        <v>19</v>
      </c>
      <c r="G89" s="91">
        <v>19</v>
      </c>
      <c r="H89" s="93">
        <f t="shared" si="0"/>
        <v>61</v>
      </c>
      <c r="I89" s="118">
        <f>_xlfn.RANK.EQ(H89,$H$72:$H$103,0)+COUNTIF($H$72:H89,H89)-1</f>
        <v>23</v>
      </c>
    </row>
    <row r="90" spans="2:9" x14ac:dyDescent="0.3">
      <c r="B90" s="94">
        <v>19</v>
      </c>
      <c r="C90" s="91">
        <v>18</v>
      </c>
      <c r="D90" s="92">
        <v>16</v>
      </c>
      <c r="E90" s="91">
        <v>20</v>
      </c>
      <c r="F90" s="92">
        <v>18</v>
      </c>
      <c r="G90" s="91">
        <v>20</v>
      </c>
      <c r="H90" s="93">
        <f t="shared" si="0"/>
        <v>68</v>
      </c>
      <c r="I90" s="123">
        <f>_xlfn.RANK.EQ(H90,$H$72:$H$103,0)+COUNTIF($H$72:H90,H90)-1</f>
        <v>19</v>
      </c>
    </row>
    <row r="91" spans="2:9" x14ac:dyDescent="0.3">
      <c r="B91" s="61">
        <v>20</v>
      </c>
      <c r="C91" s="125">
        <v>20</v>
      </c>
      <c r="D91" s="86">
        <v>29</v>
      </c>
      <c r="E91" s="125">
        <v>19</v>
      </c>
      <c r="F91" s="86">
        <v>20</v>
      </c>
      <c r="G91" s="125">
        <v>27</v>
      </c>
      <c r="H91" s="82">
        <f t="shared" si="0"/>
        <v>45</v>
      </c>
      <c r="I91" s="118">
        <f>_xlfn.RANK.EQ(H91,$H$72:$H$103,0)+COUNTIF($H$72:H91,H91)-1</f>
        <v>26</v>
      </c>
    </row>
    <row r="92" spans="2:9" x14ac:dyDescent="0.3">
      <c r="B92" s="61">
        <v>21</v>
      </c>
      <c r="C92" s="83">
        <v>7</v>
      </c>
      <c r="D92" s="84">
        <v>30</v>
      </c>
      <c r="E92" s="83">
        <v>16</v>
      </c>
      <c r="F92" s="84">
        <v>16</v>
      </c>
      <c r="G92" s="83">
        <v>28</v>
      </c>
      <c r="H92" s="85">
        <f t="shared" si="0"/>
        <v>63</v>
      </c>
      <c r="I92" s="123">
        <f>_xlfn.RANK.EQ(H92,$H$72:$H$103,0)+COUNTIF($H$72:H92,H92)-1</f>
        <v>22</v>
      </c>
    </row>
    <row r="93" spans="2:9" x14ac:dyDescent="0.3">
      <c r="B93" s="61">
        <v>22</v>
      </c>
      <c r="C93" s="83">
        <v>16</v>
      </c>
      <c r="D93" s="84">
        <v>27</v>
      </c>
      <c r="E93" s="83">
        <v>15</v>
      </c>
      <c r="F93" s="84">
        <v>8</v>
      </c>
      <c r="G93" s="83">
        <v>26</v>
      </c>
      <c r="H93" s="85">
        <f t="shared" si="0"/>
        <v>68</v>
      </c>
      <c r="I93" s="117">
        <f>_xlfn.RANK.EQ(H93,$H$72:$H$103,0)+COUNTIF($H$72:H93,H93)-1</f>
        <v>20</v>
      </c>
    </row>
    <row r="94" spans="2:9" x14ac:dyDescent="0.3">
      <c r="B94" s="25">
        <v>23</v>
      </c>
      <c r="C94" s="91">
        <v>13</v>
      </c>
      <c r="D94" s="92">
        <v>26</v>
      </c>
      <c r="E94" s="91">
        <v>12</v>
      </c>
      <c r="F94" s="92">
        <v>13</v>
      </c>
      <c r="G94" s="91">
        <v>31</v>
      </c>
      <c r="H94" s="93">
        <f t="shared" si="0"/>
        <v>65</v>
      </c>
      <c r="I94" s="123">
        <f>_xlfn.RANK.EQ(H94,$H$72:$H$103,0)+COUNTIF($H$72:H94,H94)-1</f>
        <v>21</v>
      </c>
    </row>
    <row r="95" spans="2:9" x14ac:dyDescent="0.3">
      <c r="B95" s="43">
        <v>24</v>
      </c>
      <c r="C95" s="91">
        <v>5</v>
      </c>
      <c r="D95" s="92">
        <v>22</v>
      </c>
      <c r="E95" s="91">
        <v>11</v>
      </c>
      <c r="F95" s="92">
        <v>9</v>
      </c>
      <c r="G95" s="91">
        <v>29</v>
      </c>
      <c r="H95" s="93">
        <f t="shared" si="0"/>
        <v>84</v>
      </c>
      <c r="I95" s="123">
        <f>_xlfn.RANK.EQ(H95,$H$72:$H$103,0)+COUNTIF($H$72:H95,H95)-1</f>
        <v>12</v>
      </c>
    </row>
    <row r="96" spans="2:9" x14ac:dyDescent="0.3">
      <c r="B96" s="61">
        <v>25</v>
      </c>
      <c r="C96" s="95">
        <v>9</v>
      </c>
      <c r="D96" s="96">
        <v>31</v>
      </c>
      <c r="E96" s="95">
        <v>14</v>
      </c>
      <c r="F96" s="96">
        <v>15</v>
      </c>
      <c r="G96" s="95">
        <v>32</v>
      </c>
      <c r="H96" s="85">
        <f t="shared" si="0"/>
        <v>59</v>
      </c>
      <c r="I96" s="123">
        <f>_xlfn.RANK.EQ(H96,$H$72:$H$103,0)+COUNTIF($H$72:H96,H96)-1</f>
        <v>24</v>
      </c>
    </row>
    <row r="97" spans="2:9" x14ac:dyDescent="0.3">
      <c r="B97" s="25">
        <v>26</v>
      </c>
      <c r="C97" s="83">
        <v>11</v>
      </c>
      <c r="D97" s="84">
        <v>32</v>
      </c>
      <c r="E97" s="83">
        <v>17</v>
      </c>
      <c r="F97" s="84">
        <v>17</v>
      </c>
      <c r="G97" s="83">
        <v>30</v>
      </c>
      <c r="H97" s="85">
        <f t="shared" si="0"/>
        <v>53</v>
      </c>
      <c r="I97" s="123">
        <f>_xlfn.RANK.EQ(H97,$H$72:$H$103,0)+COUNTIF($H$72:H97,H97)-1</f>
        <v>25</v>
      </c>
    </row>
    <row r="98" spans="2:9" x14ac:dyDescent="0.3">
      <c r="B98" s="98">
        <v>27</v>
      </c>
      <c r="C98" s="128">
        <v>25</v>
      </c>
      <c r="D98" s="99">
        <v>23</v>
      </c>
      <c r="E98" s="128">
        <v>29</v>
      </c>
      <c r="F98" s="99">
        <v>31</v>
      </c>
      <c r="G98" s="128">
        <v>24</v>
      </c>
      <c r="H98" s="103">
        <f t="shared" si="0"/>
        <v>28</v>
      </c>
      <c r="I98" s="124">
        <f>_xlfn.RANK.EQ(H98,$H$72:$H$103,0)+COUNTIF($H$72:H98,H98)-1</f>
        <v>29</v>
      </c>
    </row>
    <row r="99" spans="2:9" x14ac:dyDescent="0.3">
      <c r="B99" s="100">
        <v>28</v>
      </c>
      <c r="C99" s="101">
        <v>32</v>
      </c>
      <c r="D99" s="102">
        <v>17</v>
      </c>
      <c r="E99" s="101">
        <v>31</v>
      </c>
      <c r="F99" s="102">
        <v>32</v>
      </c>
      <c r="G99" s="101">
        <v>23</v>
      </c>
      <c r="H99" s="107">
        <f t="shared" si="0"/>
        <v>25</v>
      </c>
      <c r="I99" s="124">
        <f>_xlfn.RANK.EQ(H99,$H$72:$H$103,0)+COUNTIF($H$72:H99,H99)-1</f>
        <v>32</v>
      </c>
    </row>
    <row r="100" spans="2:9" x14ac:dyDescent="0.3">
      <c r="B100" s="104">
        <v>29</v>
      </c>
      <c r="C100" s="105">
        <v>30</v>
      </c>
      <c r="D100" s="106">
        <v>19</v>
      </c>
      <c r="E100" s="105">
        <v>24</v>
      </c>
      <c r="F100" s="106">
        <v>29</v>
      </c>
      <c r="G100" s="105">
        <v>21</v>
      </c>
      <c r="H100" s="103">
        <f t="shared" si="0"/>
        <v>37</v>
      </c>
      <c r="I100" s="124">
        <f>_xlfn.RANK.EQ(H100,$H$72:$H$103,0)+COUNTIF($H$72:H100,H100)-1</f>
        <v>28</v>
      </c>
    </row>
    <row r="101" spans="2:9" x14ac:dyDescent="0.3">
      <c r="B101" s="108">
        <v>30</v>
      </c>
      <c r="C101" s="109">
        <v>29</v>
      </c>
      <c r="D101" s="102">
        <v>21</v>
      </c>
      <c r="E101" s="101">
        <v>30</v>
      </c>
      <c r="F101" s="102">
        <v>30</v>
      </c>
      <c r="G101" s="101">
        <v>22</v>
      </c>
      <c r="H101" s="107">
        <f t="shared" si="0"/>
        <v>28</v>
      </c>
      <c r="I101" s="124">
        <f>_xlfn.RANK.EQ(H101,$H$72:$H$103,0)+COUNTIF($H$72:H101,H101)-1</f>
        <v>30</v>
      </c>
    </row>
    <row r="102" spans="2:9" x14ac:dyDescent="0.3">
      <c r="B102" s="61">
        <v>31</v>
      </c>
      <c r="C102" s="91">
        <v>31</v>
      </c>
      <c r="D102" s="92">
        <v>25</v>
      </c>
      <c r="E102" s="91">
        <v>23</v>
      </c>
      <c r="F102" s="92">
        <v>26</v>
      </c>
      <c r="G102" s="91">
        <v>16</v>
      </c>
      <c r="H102" s="93">
        <f t="shared" si="0"/>
        <v>39</v>
      </c>
      <c r="I102" s="117">
        <f>_xlfn.RANK.EQ(H102,$H$72:$H$103,0)+COUNTIF($H$72:H102,H102)-1</f>
        <v>27</v>
      </c>
    </row>
    <row r="103" spans="2:9" ht="15" thickBot="1" x14ac:dyDescent="0.35">
      <c r="B103" s="110">
        <v>32</v>
      </c>
      <c r="C103" s="111">
        <v>26</v>
      </c>
      <c r="D103" s="112">
        <v>28</v>
      </c>
      <c r="E103" s="111">
        <v>32</v>
      </c>
      <c r="F103" s="112">
        <v>23</v>
      </c>
      <c r="G103" s="111">
        <v>25</v>
      </c>
      <c r="H103" s="113">
        <f t="shared" si="0"/>
        <v>26</v>
      </c>
      <c r="I103" s="114">
        <f>_xlfn.RANK.EQ(H103,$H$72:$H$103,0)+COUNTIF($H$72:H103,H103)-1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VASILIKI</dc:creator>
  <cp:lastModifiedBy>VASILIKI</cp:lastModifiedBy>
  <dcterms:created xsi:type="dcterms:W3CDTF">2026-06-28T13:45:06Z</dcterms:created>
  <dcterms:modified xsi:type="dcterms:W3CDTF">2026-06-28T14:07:37Z</dcterms:modified>
</cp:coreProperties>
</file>